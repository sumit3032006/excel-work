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umit\"/>
    </mc:Choice>
  </mc:AlternateContent>
  <xr:revisionPtr revIDLastSave="0" documentId="8_{7B54D023-22B8-417A-8D1E-38AAC8B55052}" xr6:coauthVersionLast="47" xr6:coauthVersionMax="47" xr10:uidLastSave="{00000000-0000-0000-0000-000000000000}"/>
  <bookViews>
    <workbookView xWindow="-108" yWindow="-108" windowWidth="23256" windowHeight="12456" xr2:uid="{3D418BC3-92B2-4FF3-833E-B41F99C6396A}"/>
  </bookViews>
  <sheets>
    <sheet name="Functions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ata">[1]Index_Match!$D$10:$I$87</definedName>
    <definedName name="date1">#REF!</definedName>
    <definedName name="date2">#REF!</definedName>
    <definedName name="date3">#REF!</definedName>
    <definedName name="DeliveryCharges">5%</definedName>
    <definedName name="DynamicProductList">OFFSET('[3]Named Range'!$E$2,0,0,COUNTA('[3]Named Range'!$E$2:$E$100),1)</definedName>
    <definedName name="Heading">[1]Index_Match!$D$10:$I$10</definedName>
    <definedName name="Nputs">[4]Hedging!$B$2</definedName>
    <definedName name="Nshares">[4]Hedging!$B$3</definedName>
    <definedName name="pricenow">[4]Hedging!$B$5</definedName>
    <definedName name="Product_List">'[3]Named Range'!$C$1:$C$10</definedName>
    <definedName name="putcost">[4]Hedging!$B$6</definedName>
    <definedName name="Roll_no">[1]Index_Match!$G$10:$G$87</definedName>
    <definedName name="Student_marks">[5]Vlookup!$B$7:$G$79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B9" i="1"/>
  <c r="J9" i="1"/>
  <c r="M9" i="1"/>
  <c r="H20" i="1"/>
  <c r="K20" i="1"/>
  <c r="E31" i="1"/>
  <c r="C41" i="1"/>
  <c r="C42" i="1"/>
  <c r="C43" i="1"/>
  <c r="C44" i="1"/>
  <c r="C45" i="1"/>
  <c r="C46" i="1"/>
  <c r="C51" i="1" a="1"/>
  <c r="C52" i="1" a="1"/>
  <c r="C53" i="1" a="1"/>
  <c r="C54" i="1" a="1"/>
  <c r="C55" i="1" a="1"/>
  <c r="C56" i="1" a="1"/>
  <c r="C63" i="1"/>
  <c r="C64" i="1"/>
  <c r="C65" i="1"/>
  <c r="C66" i="1"/>
  <c r="C67" i="1"/>
  <c r="C72" i="1" a="1"/>
  <c r="C73" i="1" a="1"/>
  <c r="C74" i="1" a="1"/>
  <c r="C75" i="1" a="1"/>
  <c r="C7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<sst xmlns="http://schemas.openxmlformats.org/spreadsheetml/2006/main" count="184" uniqueCount="96">
  <si>
    <t>Mohit</t>
  </si>
  <si>
    <t>Riya</t>
  </si>
  <si>
    <t>Ankit</t>
  </si>
  <si>
    <t>Sneha</t>
  </si>
  <si>
    <t>Rahul</t>
  </si>
  <si>
    <t>Performace</t>
  </si>
  <si>
    <t>Score</t>
  </si>
  <si>
    <t>Employee</t>
  </si>
  <si>
    <t xml:space="preserve">
90–100 → Excellent
80–89 → Very Good
70–79 → Good
60–69 → Average
Below 60 → Poor</t>
  </si>
  <si>
    <t>Question 4: Employee Performance Rating (Using IFS)</t>
  </si>
  <si>
    <t>IF(B63&gt;=60000,"Eligible","Not Eligible")</t>
  </si>
  <si>
    <t>Bonnus</t>
  </si>
  <si>
    <t>Sales</t>
  </si>
  <si>
    <t>Create a Bonus column.
Sales &gt;= 60000 → Eligible
Otherwise → N Eligib</t>
  </si>
  <si>
    <t>Question 3: Bonus Eligibility (Using IF)</t>
  </si>
  <si>
    <t>1. SUMIF()</t>
  </si>
  <si>
    <t>)</t>
  </si>
  <si>
    <t>B51&lt;60,"Fail"</t>
  </si>
  <si>
    <t>Neha</t>
  </si>
  <si>
    <t>B51&gt;=60,"C",</t>
  </si>
  <si>
    <t>Below 60 → Fail</t>
  </si>
  <si>
    <t>Rohan</t>
  </si>
  <si>
    <t>B51&gt;=70,"B",</t>
  </si>
  <si>
    <t>60–69 → C</t>
  </si>
  <si>
    <t>B51&gt;=80,"A",</t>
  </si>
  <si>
    <t>70–79 → B</t>
  </si>
  <si>
    <t>B51&gt;=90,"A+",</t>
  </si>
  <si>
    <t>80–89 → A</t>
  </si>
  <si>
    <t>Priya</t>
  </si>
  <si>
    <t>IFS(</t>
  </si>
  <si>
    <t>90 and above → A+</t>
  </si>
  <si>
    <t>Amit</t>
  </si>
  <si>
    <t>GRADE</t>
  </si>
  <si>
    <t>Marks</t>
  </si>
  <si>
    <t>Student</t>
  </si>
  <si>
    <t>Assign grades using the following criteria:</t>
  </si>
  <si>
    <t>Question 2: IFS()</t>
  </si>
  <si>
    <r>
      <t xml:space="preserve">If marks are </t>
    </r>
    <r>
      <rPr>
        <b/>
        <sz val="11"/>
        <color theme="1"/>
        <rFont val="Segoe UI"/>
        <family val="2"/>
      </rPr>
      <t>40 or above</t>
    </r>
    <r>
      <rPr>
        <sz val="11"/>
        <color theme="1"/>
        <rFont val="Segoe UI"/>
        <family val="2"/>
      </rPr>
      <t xml:space="preserve">, display </t>
    </r>
    <r>
      <rPr>
        <b/>
        <sz val="11"/>
        <color theme="1"/>
        <rFont val="Segoe UI"/>
        <family val="2"/>
      </rPr>
      <t>Pass</t>
    </r>
    <r>
      <rPr>
        <sz val="11"/>
        <color theme="1"/>
        <rFont val="Segoe UI"/>
        <family val="2"/>
      </rPr>
      <t xml:space="preserve">; otherwise display </t>
    </r>
    <r>
      <rPr>
        <b/>
        <sz val="11"/>
        <color theme="1"/>
        <rFont val="Segoe UI"/>
        <family val="2"/>
      </rPr>
      <t>Fail</t>
    </r>
    <r>
      <rPr>
        <sz val="11"/>
        <color theme="1"/>
        <rFont val="Segoe UI"/>
        <family val="2"/>
      </rPr>
      <t>.</t>
    </r>
  </si>
  <si>
    <t>Question 1: IF()</t>
  </si>
  <si>
    <t>COUNTIF(B26:B30, "M")</t>
  </si>
  <si>
    <t>COUNTIF(B26:B30, "f")</t>
  </si>
  <si>
    <t>BELOW 50</t>
  </si>
  <si>
    <t>No of Male</t>
  </si>
  <si>
    <t>COUNTIFS(G25:G29, "HR", H25:H29, "60000")</t>
  </si>
  <si>
    <t>QUESTION -2</t>
  </si>
  <si>
    <t>ABOVE 50 MARKS</t>
  </si>
  <si>
    <t>No of Female</t>
  </si>
  <si>
    <t>COUNTIFS(G25:G29,"IT",H25:H29,"&gt;35000")</t>
  </si>
  <si>
    <t>QUESTION - 1</t>
  </si>
  <si>
    <t>Sunil</t>
  </si>
  <si>
    <t>M</t>
  </si>
  <si>
    <t>IT</t>
  </si>
  <si>
    <t>Shilpa</t>
  </si>
  <si>
    <t>F</t>
  </si>
  <si>
    <t>HR</t>
  </si>
  <si>
    <t>suman</t>
  </si>
  <si>
    <t>Binil</t>
  </si>
  <si>
    <t>Deepa</t>
  </si>
  <si>
    <t>MARKS</t>
  </si>
  <si>
    <t>STUDENT NAME</t>
  </si>
  <si>
    <t>GENDER</t>
  </si>
  <si>
    <t>B (Salary)</t>
  </si>
  <si>
    <t>A (Department)</t>
  </si>
  <si>
    <t>QUESTION -2: Count hr employees
 whose salary is EXACT 60000</t>
  </si>
  <si>
    <r>
      <t xml:space="preserve">QUESTION -1: Count </t>
    </r>
    <r>
      <rPr>
        <sz val="10"/>
        <color rgb="FFFF0000"/>
        <rFont val="Arial"/>
        <family val="2"/>
      </rPr>
      <t>IT employees</t>
    </r>
    <r>
      <rPr>
        <sz val="10"/>
        <rFont val="Arial"/>
        <family val="2"/>
      </rPr>
      <t xml:space="preserve">
 whose salary is more than 35000</t>
    </r>
  </si>
  <si>
    <t>COUNTIFS(MEET MUL CONDI)</t>
  </si>
  <si>
    <t>COUNTIF</t>
  </si>
  <si>
    <t>COUNTIF(MEET SINGLE CONDI)</t>
  </si>
  <si>
    <t>COUNT</t>
  </si>
  <si>
    <t>COUNTBLANK</t>
  </si>
  <si>
    <t>COUNTA</t>
  </si>
  <si>
    <t xml:space="preserve"> </t>
  </si>
  <si>
    <t>MAX</t>
  </si>
  <si>
    <t>D</t>
  </si>
  <si>
    <t>C</t>
  </si>
  <si>
    <t>d</t>
  </si>
  <si>
    <t>B</t>
  </si>
  <si>
    <t>c</t>
  </si>
  <si>
    <t>A</t>
  </si>
  <si>
    <t>Markas</t>
  </si>
  <si>
    <t>Student Name</t>
  </si>
  <si>
    <t xml:space="preserve">   </t>
  </si>
  <si>
    <t>MIN</t>
  </si>
  <si>
    <t>Average</t>
  </si>
  <si>
    <t>SUM</t>
  </si>
  <si>
    <t>P5</t>
  </si>
  <si>
    <t>P4</t>
  </si>
  <si>
    <t>P3</t>
  </si>
  <si>
    <t>P2</t>
  </si>
  <si>
    <t>P1</t>
  </si>
  <si>
    <t>TOTAL</t>
  </si>
  <si>
    <t>COST</t>
  </si>
  <si>
    <t>QTY</t>
  </si>
  <si>
    <t>PRODUCTS</t>
  </si>
  <si>
    <t>AVERAGE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</si>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</sst>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Segoe UI"/>
      <charset val="134"/>
    </font>
    <font>
      <b/>
      <sz val="11"/>
      <color theme="1"/>
      <name val="Segoe UI"/>
      <charset val="134"/>
    </font>
    <font>
      <b/>
      <sz val="24"/>
      <color theme="1"/>
      <name val="Segoe UI"/>
      <charset val="134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24"/>
      <color theme="1"/>
      <name val="Segoe UI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8">
    <xf numFmtId="0" fontId="0" fillId="0" borderId="0" xfId="0"/>
    <xf numFmtId="0" fontId="2" fillId="0" borderId="0" xfId="1" applyFont="1"/>
    <xf numFmtId="0" fontId="3" fillId="0" borderId="1" xfId="2" applyBorder="1" applyAlignment="1">
      <alignment vertical="center" wrapText="1"/>
    </xf>
    <xf numFmtId="0" fontId="4" fillId="0" borderId="1" xfId="2" applyFont="1" applyBorder="1" applyAlignment="1">
      <alignment horizontal="center" vertical="center" wrapText="1"/>
    </xf>
    <xf numFmtId="0" fontId="2" fillId="0" borderId="0" xfId="1" applyFont="1" applyAlignment="1">
      <alignment wrapText="1"/>
    </xf>
    <xf numFmtId="0" fontId="3" fillId="0" borderId="0" xfId="2"/>
    <xf numFmtId="0" fontId="5" fillId="0" borderId="0" xfId="2" applyFont="1" applyAlignment="1">
      <alignment vertical="center"/>
    </xf>
    <xf numFmtId="0" fontId="3" fillId="0" borderId="2" xfId="2" applyBorder="1" applyAlignment="1">
      <alignment vertical="center" wrapText="1"/>
    </xf>
    <xf numFmtId="0" fontId="4" fillId="0" borderId="2" xfId="2" applyFont="1" applyBorder="1" applyAlignment="1">
      <alignment horizontal="center" vertical="center" wrapText="1"/>
    </xf>
    <xf numFmtId="0" fontId="3" fillId="0" borderId="0" xfId="2" applyAlignment="1">
      <alignment horizontal="left" vertical="center" indent="1"/>
    </xf>
    <xf numFmtId="0" fontId="6" fillId="0" borderId="1" xfId="2" applyFont="1" applyBorder="1" applyAlignment="1">
      <alignment vertical="center" wrapText="1"/>
    </xf>
    <xf numFmtId="0" fontId="2" fillId="2" borderId="0" xfId="1" applyFont="1" applyFill="1"/>
    <xf numFmtId="0" fontId="6" fillId="0" borderId="0" xfId="2" applyFont="1"/>
    <xf numFmtId="0" fontId="7" fillId="0" borderId="1" xfId="2" applyFont="1" applyBorder="1" applyAlignment="1">
      <alignment horizontal="center" vertical="center" wrapText="1"/>
    </xf>
    <xf numFmtId="0" fontId="8" fillId="0" borderId="0" xfId="2" applyFont="1" applyAlignment="1">
      <alignment vertical="center"/>
    </xf>
    <xf numFmtId="0" fontId="9" fillId="2" borderId="1" xfId="1" applyFont="1" applyFill="1" applyBorder="1"/>
    <xf numFmtId="0" fontId="10" fillId="2" borderId="1" xfId="1" applyFont="1" applyFill="1" applyBorder="1"/>
    <xf numFmtId="0" fontId="9" fillId="3" borderId="1" xfId="1" applyFont="1" applyFill="1" applyBorder="1"/>
    <xf numFmtId="0" fontId="10" fillId="0" borderId="1" xfId="1" applyFont="1" applyBorder="1"/>
    <xf numFmtId="0" fontId="11" fillId="2" borderId="1" xfId="1" applyFont="1" applyFill="1" applyBorder="1"/>
    <xf numFmtId="0" fontId="7" fillId="0" borderId="1" xfId="2" applyFont="1" applyBorder="1" applyAlignment="1">
      <alignment vertical="center" wrapText="1"/>
    </xf>
    <xf numFmtId="0" fontId="2" fillId="0" borderId="3" xfId="1" applyFont="1" applyBorder="1"/>
    <xf numFmtId="0" fontId="2" fillId="0" borderId="4" xfId="1" applyFont="1" applyBorder="1"/>
    <xf numFmtId="0" fontId="2" fillId="4" borderId="3" xfId="1" applyFont="1" applyFill="1" applyBorder="1"/>
    <xf numFmtId="0" fontId="2" fillId="4" borderId="4" xfId="1" applyFont="1" applyFill="1" applyBorder="1"/>
    <xf numFmtId="0" fontId="13" fillId="5" borderId="1" xfId="1" applyFont="1" applyFill="1" applyBorder="1" applyAlignment="1">
      <alignment horizontal="center"/>
    </xf>
    <xf numFmtId="0" fontId="2" fillId="0" borderId="1" xfId="1" applyFont="1" applyBorder="1"/>
    <xf numFmtId="0" fontId="2" fillId="6" borderId="3" xfId="1" applyFont="1" applyFill="1" applyBorder="1"/>
    <xf numFmtId="0" fontId="2" fillId="6" borderId="4" xfId="1" applyFont="1" applyFill="1" applyBorder="1"/>
    <xf numFmtId="0" fontId="2" fillId="6" borderId="1" xfId="1" applyFont="1" applyFill="1" applyBorder="1"/>
    <xf numFmtId="0" fontId="2" fillId="3" borderId="1" xfId="1" applyFont="1" applyFill="1" applyBorder="1"/>
    <xf numFmtId="0" fontId="14" fillId="5" borderId="5" xfId="1" applyFont="1" applyFill="1" applyBorder="1" applyAlignment="1">
      <alignment horizontal="center"/>
    </xf>
    <xf numFmtId="0" fontId="14" fillId="5" borderId="6" xfId="1" applyFont="1" applyFill="1" applyBorder="1" applyAlignment="1">
      <alignment horizontal="center"/>
    </xf>
    <xf numFmtId="0" fontId="9" fillId="0" borderId="1" xfId="1" applyFont="1" applyBorder="1"/>
    <xf numFmtId="0" fontId="13" fillId="3" borderId="3" xfId="1" applyFont="1" applyFill="1" applyBorder="1"/>
    <xf numFmtId="0" fontId="2" fillId="0" borderId="7" xfId="1" applyFont="1" applyBorder="1"/>
    <xf numFmtId="0" fontId="2" fillId="0" borderId="8" xfId="1" applyFont="1" applyBorder="1"/>
    <xf numFmtId="0" fontId="14" fillId="5" borderId="9" xfId="1" applyFont="1" applyFill="1" applyBorder="1" applyAlignment="1">
      <alignment horizontal="center"/>
    </xf>
  </cellXfs>
  <cellStyles count="3">
    <cellStyle name="Normal" xfId="0" builtinId="0"/>
    <cellStyle name="Normal 2" xfId="1" xr:uid="{DF040B91-60D1-4F83-B8CF-AA9F1F4D5075}"/>
    <cellStyle name="Normal 3" xfId="2" xr:uid="{FB58900A-087C-447C-ABFE-96593DACD71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Excel_Session_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j30\Downloads\Class_1%20basicExcel_Extensions_shortcut_functions.xlsx" TargetMode="External"/><Relationship Id="rId1" Type="http://schemas.openxmlformats.org/officeDocument/2006/relationships/externalLinkPath" Target="file:///C:\Users\srj30\Downloads\Class_1%20basicExcel_Extensions_shortcut_function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Data%20analysis\EXCEL\13%20Advanced%20Excel%20Class%20File%20-%20Day%2013-%20Batch%203040%20-%20%20Sep%2014th%20Batch%20-%20Karthik%20Dal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9781509305889_OnlineFiles\Online%20Files\Templates\Chapter%2012%20Templates\Ifstatementtem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Analyst\EXCLE\Session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Vlookup_Reference"/>
      <sheetName val="Index"/>
      <sheetName val="Index_Match"/>
      <sheetName val="Xlookup_Xmatch"/>
      <sheetName val="V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Data Analysis_"/>
      <sheetName val="Data Analysis"/>
      <sheetName val="What Excel Does"/>
      <sheetName val="Excel file Formats"/>
      <sheetName val="Data &amp; Alignmnet (an)"/>
      <sheetName val="Keyboards"/>
      <sheetName val="Shortcuts"/>
      <sheetName val="SUMIF-SUMIFS-FUN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  <sheetName val="Date &amp; Time Fun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dging"/>
      <sheetName val="Craps"/>
      <sheetName val="Quantity Discoun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f"/>
      <sheetName val="Craps"/>
      <sheetName val="Nested_If_If_And_OR_Revision"/>
      <sheetName val="Vlookup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5C405-621D-4A0E-9ED0-50FA82392D95}" name="Table2" displayName="Table2" ref="A62:C67" totalsRowShown="0" tableBorderDxfId="3">
  <autoFilter ref="A62:C67" xr:uid="{E9889085-ED87-46E1-808D-9145BB337801}"/>
  <tableColumns count="3">
    <tableColumn id="1" xr3:uid="{252516D5-FE02-46E7-907E-F25FAD4AF115}" name="Employee" dataDxfId="2" dataCellStyle="Normal 3"/>
    <tableColumn id="2" xr3:uid="{90E8938B-BB22-4984-B15B-E833163761DC}" name="Sales" dataDxfId="1" dataCellStyle="Normal 3"/>
    <tableColumn id="3" xr3:uid="{CA0FF6D7-FBB7-48A9-BA3E-556EFFA3B696}" name="Bonnus" dataDxfId="0" dataCellStyle="Normal 2">
      <calculatedColumnFormula>IF(Table2[[#This Row],[Sales]]&gt;=60000,"Eligible","Not Eligible")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5C08-983E-4C89-9A37-50A512F36DC9}">
  <dimension ref="A1:S76"/>
  <sheetViews>
    <sheetView tabSelected="1" zoomScale="85" zoomScaleNormal="85" workbookViewId="0">
      <selection activeCell="C72" sqref="C72:C76"/>
    </sheetView>
  </sheetViews>
  <sheetFormatPr defaultColWidth="10.77734375" defaultRowHeight="13.2" x14ac:dyDescent="0.25"/>
  <cols>
    <col min="1" max="1" width="17.21875" style="1" customWidth="1"/>
    <col min="2" max="2" width="15.21875" style="1" bestFit="1" customWidth="1"/>
    <col min="3" max="3" width="10.77734375" style="1"/>
    <col min="4" max="4" width="21.77734375" style="1" customWidth="1"/>
    <col min="5" max="6" width="10.77734375" style="1"/>
    <col min="7" max="7" width="16.77734375" style="1" customWidth="1"/>
    <col min="8" max="8" width="10.77734375" style="1"/>
    <col min="9" max="9" width="16.21875" style="1" customWidth="1"/>
    <col min="10" max="10" width="19.21875" style="1" customWidth="1"/>
    <col min="11" max="11" width="14.77734375" style="1" bestFit="1" customWidth="1"/>
    <col min="12" max="12" width="14.77734375" style="1" customWidth="1"/>
    <col min="13" max="17" width="10.77734375" style="1"/>
    <col min="18" max="18" width="12.77734375" style="1" bestFit="1" customWidth="1"/>
    <col min="19" max="16384" width="10.77734375" style="1"/>
  </cols>
  <sheetData>
    <row r="1" spans="1:19" x14ac:dyDescent="0.25">
      <c r="A1" s="32" t="s">
        <v>84</v>
      </c>
      <c r="B1" s="31"/>
      <c r="D1" s="32" t="s">
        <v>95</v>
      </c>
      <c r="E1" s="37"/>
      <c r="F1" s="37"/>
      <c r="G1" s="31"/>
      <c r="I1" s="32" t="s">
        <v>94</v>
      </c>
      <c r="J1" s="31"/>
      <c r="L1" s="32" t="s">
        <v>82</v>
      </c>
      <c r="M1" s="31"/>
    </row>
    <row r="2" spans="1:19" x14ac:dyDescent="0.25">
      <c r="A2" s="26"/>
      <c r="B2" s="26"/>
      <c r="D2" s="22"/>
      <c r="E2" s="26"/>
      <c r="F2" s="26"/>
      <c r="G2" s="21"/>
      <c r="I2" s="26"/>
      <c r="J2" s="26"/>
      <c r="L2" s="26"/>
      <c r="M2" s="26"/>
    </row>
    <row r="3" spans="1:19" x14ac:dyDescent="0.25">
      <c r="A3" s="29" t="s">
        <v>59</v>
      </c>
      <c r="B3" s="29" t="s">
        <v>58</v>
      </c>
      <c r="D3" s="28" t="s">
        <v>93</v>
      </c>
      <c r="E3" s="29" t="s">
        <v>92</v>
      </c>
      <c r="F3" s="29" t="s">
        <v>91</v>
      </c>
      <c r="G3" s="27" t="s">
        <v>90</v>
      </c>
      <c r="I3" s="29" t="s">
        <v>59</v>
      </c>
      <c r="J3" s="29" t="s">
        <v>58</v>
      </c>
      <c r="L3" s="29" t="s">
        <v>59</v>
      </c>
      <c r="M3" s="29" t="s">
        <v>58</v>
      </c>
    </row>
    <row r="4" spans="1:19" x14ac:dyDescent="0.25">
      <c r="A4" s="26" t="s">
        <v>57</v>
      </c>
      <c r="B4" s="26">
        <v>85</v>
      </c>
      <c r="D4" s="22" t="s">
        <v>89</v>
      </c>
      <c r="E4" s="26">
        <v>150</v>
      </c>
      <c r="F4" s="26">
        <v>10</v>
      </c>
      <c r="G4" s="34">
        <f>PRODUCT(E4:F4)</f>
        <v>1500</v>
      </c>
      <c r="I4" s="26" t="s">
        <v>57</v>
      </c>
      <c r="J4" s="26">
        <v>85</v>
      </c>
      <c r="L4" s="26" t="s">
        <v>57</v>
      </c>
      <c r="M4" s="26">
        <v>85</v>
      </c>
    </row>
    <row r="5" spans="1:19" x14ac:dyDescent="0.25">
      <c r="A5" s="26" t="s">
        <v>56</v>
      </c>
      <c r="B5" s="26">
        <v>96</v>
      </c>
      <c r="D5" s="22" t="s">
        <v>88</v>
      </c>
      <c r="E5" s="26">
        <v>200</v>
      </c>
      <c r="F5" s="26">
        <v>15</v>
      </c>
      <c r="G5" s="34">
        <f>PRODUCT(E5:F5)</f>
        <v>3000</v>
      </c>
      <c r="I5" s="26" t="s">
        <v>56</v>
      </c>
      <c r="J5" s="26">
        <v>96</v>
      </c>
      <c r="L5" s="26" t="s">
        <v>56</v>
      </c>
      <c r="M5" s="26">
        <v>1</v>
      </c>
    </row>
    <row r="6" spans="1:19" x14ac:dyDescent="0.25">
      <c r="A6" s="26" t="s">
        <v>55</v>
      </c>
      <c r="B6" s="26">
        <v>78</v>
      </c>
      <c r="D6" s="22" t="s">
        <v>87</v>
      </c>
      <c r="E6" s="26">
        <v>250</v>
      </c>
      <c r="F6" s="26">
        <v>20</v>
      </c>
      <c r="G6" s="34">
        <f>PRODUCT(E6:F6)</f>
        <v>5000</v>
      </c>
      <c r="I6" s="26" t="s">
        <v>55</v>
      </c>
      <c r="J6" s="26">
        <v>78</v>
      </c>
      <c r="L6" s="26" t="s">
        <v>55</v>
      </c>
      <c r="M6" s="26">
        <v>8</v>
      </c>
    </row>
    <row r="7" spans="1:19" x14ac:dyDescent="0.25">
      <c r="A7" s="26" t="s">
        <v>52</v>
      </c>
      <c r="B7" s="26">
        <v>65</v>
      </c>
      <c r="D7" s="22" t="s">
        <v>86</v>
      </c>
      <c r="E7" s="26">
        <v>300</v>
      </c>
      <c r="F7" s="26">
        <v>25</v>
      </c>
      <c r="G7" s="34">
        <f>PRODUCT(E7:F7)</f>
        <v>7500</v>
      </c>
      <c r="I7" s="26" t="s">
        <v>52</v>
      </c>
      <c r="J7" s="26">
        <v>65</v>
      </c>
      <c r="L7" s="26" t="s">
        <v>52</v>
      </c>
      <c r="M7" s="26">
        <v>65</v>
      </c>
    </row>
    <row r="8" spans="1:19" ht="13.8" thickBot="1" x14ac:dyDescent="0.3">
      <c r="A8" s="26" t="s">
        <v>49</v>
      </c>
      <c r="B8" s="26">
        <v>89</v>
      </c>
      <c r="D8" s="36" t="s">
        <v>85</v>
      </c>
      <c r="E8" s="35">
        <v>350</v>
      </c>
      <c r="F8" s="35">
        <v>30</v>
      </c>
      <c r="G8" s="34">
        <f>PRODUCT(E8:F8)</f>
        <v>10500</v>
      </c>
      <c r="I8" s="26" t="s">
        <v>49</v>
      </c>
      <c r="J8" s="26">
        <v>89</v>
      </c>
      <c r="L8" s="26" t="s">
        <v>49</v>
      </c>
      <c r="M8" s="26">
        <v>89</v>
      </c>
    </row>
    <row r="9" spans="1:19" ht="20.399999999999999" x14ac:dyDescent="0.35">
      <c r="A9" s="18" t="s">
        <v>84</v>
      </c>
      <c r="B9" s="17">
        <f>SUM(B4:B8)</f>
        <v>413</v>
      </c>
      <c r="D9" s="18"/>
      <c r="E9" s="33"/>
      <c r="F9" s="18"/>
      <c r="G9" s="33"/>
      <c r="I9" s="18" t="s">
        <v>83</v>
      </c>
      <c r="J9" s="17">
        <f>AVERAGE(J4:J8)</f>
        <v>82.6</v>
      </c>
      <c r="L9" s="18" t="s">
        <v>82</v>
      </c>
      <c r="M9" s="17">
        <f>MIN(M4:M8)</f>
        <v>1</v>
      </c>
    </row>
    <row r="12" spans="1:19" x14ac:dyDescent="0.25">
      <c r="A12" s="32" t="s">
        <v>72</v>
      </c>
      <c r="B12" s="31"/>
      <c r="C12" s="1" t="s">
        <v>81</v>
      </c>
      <c r="D12" s="32" t="s">
        <v>68</v>
      </c>
      <c r="E12" s="31"/>
      <c r="G12" s="32" t="s">
        <v>70</v>
      </c>
      <c r="H12" s="31"/>
      <c r="J12" s="32" t="s">
        <v>69</v>
      </c>
      <c r="K12" s="31"/>
    </row>
    <row r="13" spans="1:19" x14ac:dyDescent="0.25">
      <c r="A13" s="22"/>
      <c r="B13" s="21"/>
      <c r="D13" s="26"/>
      <c r="E13" s="26"/>
      <c r="G13" s="22"/>
      <c r="H13" s="21"/>
      <c r="J13" s="22"/>
      <c r="K13" s="21"/>
      <c r="R13" s="30" t="s">
        <v>80</v>
      </c>
      <c r="S13" s="30" t="s">
        <v>79</v>
      </c>
    </row>
    <row r="14" spans="1:19" x14ac:dyDescent="0.25">
      <c r="A14" s="28" t="s">
        <v>59</v>
      </c>
      <c r="B14" s="27" t="s">
        <v>58</v>
      </c>
      <c r="D14" s="29" t="s">
        <v>59</v>
      </c>
      <c r="E14" s="29" t="s">
        <v>58</v>
      </c>
      <c r="G14" s="28" t="s">
        <v>59</v>
      </c>
      <c r="H14" s="27" t="s">
        <v>58</v>
      </c>
      <c r="J14" s="28" t="s">
        <v>59</v>
      </c>
      <c r="K14" s="27" t="s">
        <v>58</v>
      </c>
      <c r="R14" s="26" t="s">
        <v>78</v>
      </c>
      <c r="S14" s="26">
        <v>55</v>
      </c>
    </row>
    <row r="15" spans="1:19" x14ac:dyDescent="0.25">
      <c r="A15" s="22" t="s">
        <v>57</v>
      </c>
      <c r="B15" s="21">
        <v>85</v>
      </c>
      <c r="D15" s="26" t="s">
        <v>57</v>
      </c>
      <c r="E15" s="26">
        <v>85</v>
      </c>
      <c r="G15" s="22" t="s">
        <v>57</v>
      </c>
      <c r="H15" s="21">
        <v>85</v>
      </c>
      <c r="J15" s="22" t="s">
        <v>57</v>
      </c>
      <c r="K15" s="21">
        <v>85</v>
      </c>
      <c r="R15" s="26" t="s">
        <v>76</v>
      </c>
      <c r="S15" s="26">
        <v>26</v>
      </c>
    </row>
    <row r="16" spans="1:19" x14ac:dyDescent="0.25">
      <c r="A16" s="22" t="s">
        <v>56</v>
      </c>
      <c r="B16" s="21">
        <v>96</v>
      </c>
      <c r="D16" s="26" t="s">
        <v>56</v>
      </c>
      <c r="E16" s="26">
        <v>96</v>
      </c>
      <c r="G16" s="22" t="s">
        <v>56</v>
      </c>
      <c r="H16" s="21" t="s">
        <v>78</v>
      </c>
      <c r="J16" s="22" t="s">
        <v>56</v>
      </c>
      <c r="K16" s="21"/>
      <c r="R16" s="26" t="s">
        <v>77</v>
      </c>
      <c r="S16" s="26">
        <v>45</v>
      </c>
    </row>
    <row r="17" spans="1:19" x14ac:dyDescent="0.25">
      <c r="A17" s="22" t="s">
        <v>55</v>
      </c>
      <c r="B17" s="21">
        <v>78</v>
      </c>
      <c r="D17" s="26" t="s">
        <v>55</v>
      </c>
      <c r="E17" s="26">
        <v>78</v>
      </c>
      <c r="G17" s="22" t="s">
        <v>55</v>
      </c>
      <c r="H17" s="21" t="s">
        <v>76</v>
      </c>
      <c r="J17" s="22" t="s">
        <v>55</v>
      </c>
      <c r="K17" s="21">
        <v>2</v>
      </c>
      <c r="R17" s="26" t="s">
        <v>75</v>
      </c>
      <c r="S17" s="26">
        <v>66</v>
      </c>
    </row>
    <row r="18" spans="1:19" x14ac:dyDescent="0.25">
      <c r="A18" s="22" t="s">
        <v>52</v>
      </c>
      <c r="B18" s="21">
        <v>65</v>
      </c>
      <c r="D18" s="26" t="s">
        <v>52</v>
      </c>
      <c r="E18" s="26">
        <v>22</v>
      </c>
      <c r="G18" s="22" t="s">
        <v>52</v>
      </c>
      <c r="H18" s="21" t="s">
        <v>74</v>
      </c>
      <c r="J18" s="22" t="s">
        <v>52</v>
      </c>
      <c r="K18" s="21">
        <v>3</v>
      </c>
    </row>
    <row r="19" spans="1:19" x14ac:dyDescent="0.25">
      <c r="A19" s="22" t="s">
        <v>49</v>
      </c>
      <c r="B19" s="21">
        <v>89</v>
      </c>
      <c r="D19" s="26" t="s">
        <v>49</v>
      </c>
      <c r="E19" s="26">
        <v>89</v>
      </c>
      <c r="G19" s="22" t="s">
        <v>49</v>
      </c>
      <c r="H19" s="21" t="s">
        <v>73</v>
      </c>
      <c r="J19" s="22" t="s">
        <v>49</v>
      </c>
      <c r="K19" s="21">
        <v>4</v>
      </c>
    </row>
    <row r="20" spans="1:19" ht="20.399999999999999" x14ac:dyDescent="0.35">
      <c r="A20" s="18" t="s">
        <v>72</v>
      </c>
      <c r="B20" s="17"/>
      <c r="D20" s="18" t="s">
        <v>68</v>
      </c>
      <c r="E20" s="17"/>
      <c r="F20" s="1" t="s">
        <v>71</v>
      </c>
      <c r="G20" s="18" t="s">
        <v>70</v>
      </c>
      <c r="H20" s="17">
        <f>COUNTA(H15:H19)</f>
        <v>5</v>
      </c>
      <c r="J20" s="18" t="s">
        <v>69</v>
      </c>
      <c r="K20" s="17">
        <f>COUNTBLANK(K15:K19)</f>
        <v>1</v>
      </c>
    </row>
    <row r="21" spans="1:19" ht="20.399999999999999" x14ac:dyDescent="0.35">
      <c r="G21" s="18" t="s">
        <v>68</v>
      </c>
      <c r="H21" s="17"/>
      <c r="J21" s="18" t="s">
        <v>68</v>
      </c>
      <c r="K21" s="17"/>
    </row>
    <row r="22" spans="1:19" ht="16.8" x14ac:dyDescent="0.4">
      <c r="D22" s="5"/>
    </row>
    <row r="23" spans="1:19" ht="66" x14ac:dyDescent="0.25">
      <c r="A23" s="25" t="s">
        <v>67</v>
      </c>
      <c r="B23" s="25"/>
      <c r="D23" s="25" t="s">
        <v>66</v>
      </c>
      <c r="E23" s="25"/>
      <c r="G23" s="25" t="s">
        <v>65</v>
      </c>
      <c r="H23" s="25"/>
      <c r="J23" s="4" t="s">
        <v>64</v>
      </c>
      <c r="K23" s="4" t="s">
        <v>63</v>
      </c>
    </row>
    <row r="24" spans="1:19" ht="16.8" x14ac:dyDescent="0.25">
      <c r="A24" s="22"/>
      <c r="B24" s="21"/>
      <c r="D24" s="22"/>
      <c r="E24" s="21"/>
      <c r="G24" s="3" t="s">
        <v>62</v>
      </c>
      <c r="H24" s="3" t="s">
        <v>61</v>
      </c>
    </row>
    <row r="25" spans="1:19" ht="16.8" x14ac:dyDescent="0.25">
      <c r="A25" s="24" t="s">
        <v>59</v>
      </c>
      <c r="B25" s="23" t="s">
        <v>60</v>
      </c>
      <c r="D25" s="24" t="s">
        <v>59</v>
      </c>
      <c r="E25" s="23" t="s">
        <v>58</v>
      </c>
      <c r="G25" s="2" t="s">
        <v>54</v>
      </c>
      <c r="H25" s="2">
        <v>25000</v>
      </c>
    </row>
    <row r="26" spans="1:19" ht="16.8" x14ac:dyDescent="0.4">
      <c r="A26" s="22" t="s">
        <v>57</v>
      </c>
      <c r="B26" s="21" t="s">
        <v>53</v>
      </c>
      <c r="D26" s="22" t="s">
        <v>57</v>
      </c>
      <c r="E26" s="21">
        <v>55</v>
      </c>
      <c r="G26" s="2" t="s">
        <v>51</v>
      </c>
      <c r="H26" s="2">
        <v>40000</v>
      </c>
      <c r="I26" s="5"/>
    </row>
    <row r="27" spans="1:19" ht="16.8" x14ac:dyDescent="0.4">
      <c r="A27" s="22" t="s">
        <v>56</v>
      </c>
      <c r="B27" s="21" t="s">
        <v>53</v>
      </c>
      <c r="D27" s="22" t="s">
        <v>56</v>
      </c>
      <c r="E27" s="21">
        <v>60</v>
      </c>
      <c r="G27" s="2" t="s">
        <v>51</v>
      </c>
      <c r="H27" s="2">
        <v>55000</v>
      </c>
      <c r="I27" s="5"/>
    </row>
    <row r="28" spans="1:19" ht="16.8" x14ac:dyDescent="0.4">
      <c r="A28" s="22" t="s">
        <v>55</v>
      </c>
      <c r="B28" s="21" t="s">
        <v>50</v>
      </c>
      <c r="D28" s="22" t="s">
        <v>55</v>
      </c>
      <c r="E28" s="21">
        <v>30</v>
      </c>
      <c r="G28" s="10" t="s">
        <v>54</v>
      </c>
      <c r="H28" s="2">
        <v>60000</v>
      </c>
      <c r="I28" s="5"/>
    </row>
    <row r="29" spans="1:19" ht="16.8" x14ac:dyDescent="0.4">
      <c r="A29" s="22" t="s">
        <v>52</v>
      </c>
      <c r="B29" s="21" t="s">
        <v>53</v>
      </c>
      <c r="D29" s="22" t="s">
        <v>52</v>
      </c>
      <c r="E29" s="21">
        <v>90</v>
      </c>
      <c r="G29" s="2" t="s">
        <v>51</v>
      </c>
      <c r="H29" s="2">
        <v>30000</v>
      </c>
      <c r="I29" s="5"/>
    </row>
    <row r="30" spans="1:19" ht="16.8" x14ac:dyDescent="0.4">
      <c r="A30" s="22" t="s">
        <v>49</v>
      </c>
      <c r="B30" s="21" t="s">
        <v>50</v>
      </c>
      <c r="D30" s="22" t="s">
        <v>49</v>
      </c>
      <c r="E30" s="21">
        <v>44</v>
      </c>
      <c r="G30" s="20" t="s">
        <v>48</v>
      </c>
      <c r="H30" s="2"/>
      <c r="I30" s="12" t="s">
        <v>47</v>
      </c>
    </row>
    <row r="31" spans="1:19" ht="21" x14ac:dyDescent="0.4">
      <c r="A31" s="18" t="s">
        <v>46</v>
      </c>
      <c r="D31" s="18" t="s">
        <v>45</v>
      </c>
      <c r="E31" s="17">
        <f>COUNTIF(E26:E30,"&gt;50")</f>
        <v>3</v>
      </c>
      <c r="G31" s="19" t="s">
        <v>44</v>
      </c>
      <c r="H31" s="15"/>
      <c r="I31" s="5" t="s">
        <v>43</v>
      </c>
    </row>
    <row r="32" spans="1:19" ht="21" x14ac:dyDescent="0.4">
      <c r="A32" s="18" t="s">
        <v>42</v>
      </c>
      <c r="D32" s="18" t="s">
        <v>41</v>
      </c>
      <c r="E32" s="17"/>
      <c r="G32" s="16"/>
      <c r="H32" s="15"/>
      <c r="I32" s="5"/>
    </row>
    <row r="33" spans="1:4" ht="21" x14ac:dyDescent="0.4">
      <c r="A33" s="15" t="s">
        <v>40</v>
      </c>
      <c r="D33" s="5"/>
    </row>
    <row r="34" spans="1:4" ht="21" x14ac:dyDescent="0.4">
      <c r="A34" s="15" t="s">
        <v>39</v>
      </c>
      <c r="D34" s="5"/>
    </row>
    <row r="37" spans="1:4" x14ac:dyDescent="0.25">
      <c r="D37" s="11"/>
    </row>
    <row r="38" spans="1:4" x14ac:dyDescent="0.25">
      <c r="D38" s="11"/>
    </row>
    <row r="39" spans="1:4" ht="34.799999999999997" x14ac:dyDescent="0.4">
      <c r="A39" s="14" t="s">
        <v>38</v>
      </c>
      <c r="B39" s="5"/>
      <c r="D39" s="11"/>
    </row>
    <row r="40" spans="1:4" ht="16.8" x14ac:dyDescent="0.4">
      <c r="A40" s="13" t="s">
        <v>34</v>
      </c>
      <c r="B40" s="13" t="s">
        <v>33</v>
      </c>
      <c r="D40" s="12" t="s">
        <v>37</v>
      </c>
    </row>
    <row r="41" spans="1:4" ht="16.8" x14ac:dyDescent="0.25">
      <c r="A41" s="10" t="s">
        <v>31</v>
      </c>
      <c r="B41" s="10">
        <v>85</v>
      </c>
      <c r="C41" s="1" t="str">
        <f>IF(B41&gt;40, "PASS", "FAIL")</f>
        <v>PASS</v>
      </c>
      <c r="D41" s="11"/>
    </row>
    <row r="42" spans="1:4" ht="16.8" x14ac:dyDescent="0.25">
      <c r="A42" s="10" t="s">
        <v>28</v>
      </c>
      <c r="B42" s="10">
        <v>35</v>
      </c>
      <c r="C42" s="1" t="str">
        <f>IF(B42&gt;40, "PASS", "FAIL")</f>
        <v>FAIL</v>
      </c>
      <c r="D42" s="11"/>
    </row>
    <row r="43" spans="1:4" ht="16.8" x14ac:dyDescent="0.25">
      <c r="A43" s="10" t="s">
        <v>4</v>
      </c>
      <c r="B43" s="10">
        <v>65</v>
      </c>
      <c r="C43" s="1" t="str">
        <f>IF(B43&gt;40, "PASS", "FAIL")</f>
        <v>PASS</v>
      </c>
      <c r="D43" s="11"/>
    </row>
    <row r="44" spans="1:4" ht="16.8" x14ac:dyDescent="0.25">
      <c r="A44" s="10" t="s">
        <v>3</v>
      </c>
      <c r="B44" s="10">
        <v>40</v>
      </c>
      <c r="C44" s="1" t="str">
        <f>IF(B44&gt;40, "PASS", "FAIL")</f>
        <v>FAIL</v>
      </c>
      <c r="D44" s="11"/>
    </row>
    <row r="45" spans="1:4" ht="16.8" x14ac:dyDescent="0.25">
      <c r="A45" s="10" t="s">
        <v>21</v>
      </c>
      <c r="B45" s="10">
        <v>25</v>
      </c>
      <c r="C45" s="1" t="str">
        <f>IF(B45&gt;40, "PASS", "FAIL")</f>
        <v>FAIL</v>
      </c>
      <c r="D45" s="11"/>
    </row>
    <row r="46" spans="1:4" ht="16.8" x14ac:dyDescent="0.25">
      <c r="A46" s="10" t="s">
        <v>18</v>
      </c>
      <c r="B46" s="10">
        <v>90</v>
      </c>
      <c r="C46" s="1" t="str">
        <f>IF(B46&gt;40, "PASS", "FAIL")</f>
        <v>PASS</v>
      </c>
    </row>
    <row r="49" spans="1:9" ht="34.799999999999997" x14ac:dyDescent="0.4">
      <c r="A49" s="6" t="s">
        <v>36</v>
      </c>
      <c r="B49" s="5"/>
      <c r="D49" s="5" t="s">
        <v>35</v>
      </c>
    </row>
    <row r="50" spans="1:9" ht="16.8" x14ac:dyDescent="0.25">
      <c r="A50" s="3" t="s">
        <v>34</v>
      </c>
      <c r="B50" s="3" t="s">
        <v>33</v>
      </c>
      <c r="C50" s="1" t="s">
        <v>32</v>
      </c>
      <c r="D50" s="9"/>
    </row>
    <row r="51" spans="1:9" ht="16.8" x14ac:dyDescent="0.25">
      <c r="A51" s="2" t="s">
        <v>31</v>
      </c>
      <c r="B51" s="2">
        <v>90</v>
      </c>
      <c r="C51" s="1" t="str" cm="1">
        <f t="array" ref="C51">_xlfn.IFS(B51&gt;=90,"A+",B51&gt;=80,"A",B51&gt;=70,"B",B51&gt;=60,"C",B51&lt;60,"F")</f>
        <v>A+</v>
      </c>
      <c r="D51" s="9" t="s">
        <v>30</v>
      </c>
      <c r="F51" s="1" t="s">
        <v>29</v>
      </c>
    </row>
    <row r="52" spans="1:9" ht="16.8" x14ac:dyDescent="0.25">
      <c r="A52" s="2" t="s">
        <v>28</v>
      </c>
      <c r="B52" s="2">
        <v>82</v>
      </c>
      <c r="C52" s="1" t="str" cm="1">
        <f t="array" ref="C52">_xlfn.IFS(B52&gt;=90,"A+",B52&gt;=80,"A",B52&gt;=70,"B",B52&gt;=60,"C",B52&lt;60,"F")</f>
        <v>A</v>
      </c>
      <c r="D52" s="9" t="s">
        <v>27</v>
      </c>
      <c r="F52" s="1" t="s">
        <v>26</v>
      </c>
    </row>
    <row r="53" spans="1:9" ht="16.8" x14ac:dyDescent="0.25">
      <c r="A53" s="2" t="s">
        <v>4</v>
      </c>
      <c r="B53" s="2">
        <v>76</v>
      </c>
      <c r="C53" s="1" t="str" cm="1">
        <f t="array" ref="C53">_xlfn.IFS(B53&gt;=90,"A+",B53&gt;=80,"A",B53&gt;=70,"B",B53&gt;=60,"C",B53&lt;60,"F")</f>
        <v>B</v>
      </c>
      <c r="D53" s="9" t="s">
        <v>25</v>
      </c>
      <c r="F53" s="1" t="s">
        <v>24</v>
      </c>
    </row>
    <row r="54" spans="1:9" ht="16.8" x14ac:dyDescent="0.25">
      <c r="A54" s="2" t="s">
        <v>3</v>
      </c>
      <c r="B54" s="2">
        <v>68</v>
      </c>
      <c r="C54" s="1" t="str" cm="1">
        <f t="array" ref="C54">_xlfn.IFS(B54&gt;=90,"A+",B54&gt;=80,"A",B54&gt;=70,"B",B54&gt;=60,"C",B54&lt;60,"F")</f>
        <v>C</v>
      </c>
      <c r="D54" s="9" t="s">
        <v>23</v>
      </c>
      <c r="F54" s="1" t="s">
        <v>22</v>
      </c>
    </row>
    <row r="55" spans="1:9" ht="16.8" x14ac:dyDescent="0.25">
      <c r="A55" s="2" t="s">
        <v>21</v>
      </c>
      <c r="B55" s="2">
        <v>55</v>
      </c>
      <c r="C55" s="1" t="str" cm="1">
        <f t="array" ref="C55">_xlfn.IFS(B55&gt;=90,"A+",B55&gt;=80,"A",B55&gt;=70,"B",B55&gt;=60,"C",B55&lt;60,"F")</f>
        <v>F</v>
      </c>
      <c r="D55" s="9" t="s">
        <v>20</v>
      </c>
      <c r="F55" s="1" t="s">
        <v>19</v>
      </c>
    </row>
    <row r="56" spans="1:9" ht="16.8" x14ac:dyDescent="0.25">
      <c r="A56" s="2" t="s">
        <v>18</v>
      </c>
      <c r="B56" s="2">
        <v>91</v>
      </c>
      <c r="C56" s="1" t="str" cm="1">
        <f t="array" ref="C56">_xlfn.IFS(B56&gt;=90,"A+",B56&gt;=80,"A",B56&gt;=70,"B",B56&gt;=60,"C",B56&lt;60,"F")</f>
        <v>A+</v>
      </c>
      <c r="F56" s="1" t="s">
        <v>17</v>
      </c>
    </row>
    <row r="57" spans="1:9" x14ac:dyDescent="0.25">
      <c r="F57" s="1" t="s">
        <v>16</v>
      </c>
    </row>
    <row r="59" spans="1:9" ht="16.8" x14ac:dyDescent="0.4">
      <c r="A59" s="5" t="s">
        <v>15</v>
      </c>
    </row>
    <row r="61" spans="1:9" ht="81" x14ac:dyDescent="0.4">
      <c r="A61" s="6" t="s">
        <v>14</v>
      </c>
      <c r="B61" s="5"/>
      <c r="G61" s="4" t="s">
        <v>13</v>
      </c>
    </row>
    <row r="62" spans="1:9" ht="16.8" x14ac:dyDescent="0.25">
      <c r="A62" s="8" t="s">
        <v>7</v>
      </c>
      <c r="B62" s="3" t="s">
        <v>12</v>
      </c>
      <c r="C62" s="1" t="s">
        <v>11</v>
      </c>
      <c r="F62" s="1" t="s">
        <v>10</v>
      </c>
      <c r="I62" s="1" t="s">
        <v>10</v>
      </c>
    </row>
    <row r="63" spans="1:9" ht="16.8" x14ac:dyDescent="0.25">
      <c r="A63" s="7" t="s">
        <v>4</v>
      </c>
      <c r="B63" s="2">
        <v>45000</v>
      </c>
      <c r="C63" s="1" t="str">
        <f>IF(Table2[[#This Row],[Sales]]&gt;=60000,"Eligible","Not Eligible")</f>
        <v>Not Eligible</v>
      </c>
    </row>
    <row r="64" spans="1:9" ht="16.8" x14ac:dyDescent="0.25">
      <c r="A64" s="7" t="s">
        <v>3</v>
      </c>
      <c r="B64" s="2">
        <v>65000</v>
      </c>
      <c r="C64" s="1" t="str">
        <f>IF(Table2[[#This Row],[Sales]]&gt;=60000,"Eligible","Not Eligible")</f>
        <v>Eligible</v>
      </c>
    </row>
    <row r="65" spans="1:9" ht="16.8" x14ac:dyDescent="0.25">
      <c r="A65" s="7" t="s">
        <v>2</v>
      </c>
      <c r="B65" s="2">
        <v>90000</v>
      </c>
      <c r="C65" s="1" t="str">
        <f>IF(Table2[[#This Row],[Sales]]&gt;=60000,"Eligible","Not Eligible")</f>
        <v>Eligible</v>
      </c>
    </row>
    <row r="66" spans="1:9" ht="16.8" x14ac:dyDescent="0.25">
      <c r="A66" s="7" t="s">
        <v>1</v>
      </c>
      <c r="B66" s="2">
        <v>30000</v>
      </c>
      <c r="C66" s="1" t="str">
        <f>IF(Table2[[#This Row],[Sales]]&gt;=60000,"Eligible","Not Eligible")</f>
        <v>Not Eligible</v>
      </c>
    </row>
    <row r="67" spans="1:9" ht="16.8" x14ac:dyDescent="0.25">
      <c r="A67" s="7" t="s">
        <v>0</v>
      </c>
      <c r="B67" s="2">
        <v>75000</v>
      </c>
      <c r="C67" s="1" t="str">
        <f>IF(Table2[[#This Row],[Sales]]&gt;=60000,"Eligible","Not Eligible")</f>
        <v>Eligible</v>
      </c>
    </row>
    <row r="70" spans="1:9" ht="107.4" x14ac:dyDescent="0.4">
      <c r="A70" s="6" t="s">
        <v>9</v>
      </c>
      <c r="B70" s="5"/>
      <c r="I70" s="4" t="s">
        <v>8</v>
      </c>
    </row>
    <row r="71" spans="1:9" ht="16.8" x14ac:dyDescent="0.25">
      <c r="A71" s="3" t="s">
        <v>7</v>
      </c>
      <c r="B71" s="3" t="s">
        <v>6</v>
      </c>
      <c r="C71" s="1" t="s">
        <v>5</v>
      </c>
    </row>
    <row r="72" spans="1:9" ht="16.8" x14ac:dyDescent="0.25">
      <c r="A72" s="2" t="s">
        <v>4</v>
      </c>
      <c r="B72" s="2">
        <v>98</v>
      </c>
      <c r="C72" s="1" t="str" cm="1">
        <f t="array" ref="C72">_xlfn.IFS(B72&gt;=90,"Excellent",B72&gt;=80,"Very Good",B72&gt;=70,"Good",B72&gt;=60,"Average",B72&lt;60,"Poor")</f>
        <v>Excellent</v>
      </c>
    </row>
    <row r="73" spans="1:9" ht="16.8" x14ac:dyDescent="0.25">
      <c r="A73" s="2" t="s">
        <v>3</v>
      </c>
      <c r="B73" s="2">
        <v>84</v>
      </c>
      <c r="C73" s="1" t="str" cm="1">
        <f t="array" ref="C73">_xlfn.IFS(B73&gt;=90,"Excellent",B73&gt;=80,"Very Good",B73&gt;=70,"Good",B73&gt;=60,"Average",B73&lt;60,"Poor")</f>
        <v>Very Good</v>
      </c>
    </row>
    <row r="74" spans="1:9" ht="16.8" x14ac:dyDescent="0.25">
      <c r="A74" s="2" t="s">
        <v>2</v>
      </c>
      <c r="B74" s="2">
        <v>76</v>
      </c>
      <c r="C74" s="1" t="str" cm="1">
        <f t="array" ref="C74">_xlfn.IFS(B74&gt;=90,"Excellent",B74&gt;=80,"Very Good",B74&gt;=70,"Good",B74&gt;=60,"Average",B74&lt;60,"Poor")</f>
        <v>Good</v>
      </c>
    </row>
    <row r="75" spans="1:9" ht="16.8" x14ac:dyDescent="0.25">
      <c r="A75" s="2" t="s">
        <v>1</v>
      </c>
      <c r="B75" s="2">
        <v>68</v>
      </c>
      <c r="C75" s="1" t="str" cm="1">
        <f t="array" ref="C75">_xlfn.IFS(B75&gt;=90,"Excellent",B75&gt;=80,"Very Good",B75&gt;=70,"Good",B75&gt;=60,"Average",B75&lt;60,"Poor")</f>
        <v>Average</v>
      </c>
    </row>
    <row r="76" spans="1:9" ht="16.8" x14ac:dyDescent="0.25">
      <c r="A76" s="2" t="s">
        <v>0</v>
      </c>
      <c r="B76" s="2">
        <v>50</v>
      </c>
      <c r="C76" s="1" t="str" cm="1">
        <f t="array" ref="C76">_xlfn.IFS(B76&gt;=90,"Excellent",B76&gt;=80,"Very Good",B76&gt;=70,"Good",B76&gt;=60,"Average",B76&lt;60,"Poor")</f>
        <v>Poor</v>
      </c>
    </row>
  </sheetData>
  <mergeCells count="11">
    <mergeCell ref="L1:M1"/>
    <mergeCell ref="A12:B12"/>
    <mergeCell ref="D12:E12"/>
    <mergeCell ref="G12:H12"/>
    <mergeCell ref="J12:K12"/>
    <mergeCell ref="A23:B23"/>
    <mergeCell ref="D23:E23"/>
    <mergeCell ref="G23:H23"/>
    <mergeCell ref="A1:B1"/>
    <mergeCell ref="D1:G1"/>
    <mergeCell ref="I1:J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Jadhav</dc:creator>
  <cp:lastModifiedBy>Sumit Jadhav</cp:lastModifiedBy>
  <dcterms:created xsi:type="dcterms:W3CDTF">2026-10-28T09:35:05Z</dcterms:created>
  <dcterms:modified xsi:type="dcterms:W3CDTF">2026-10-28T09:35:33Z</dcterms:modified>
</cp:coreProperties>
</file>